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s\OICIIQE\Brain_IIQE\problem_report\ExaminationMember_1\"/>
    </mc:Choice>
  </mc:AlternateContent>
  <xr:revisionPtr revIDLastSave="0" documentId="13_ncr:1_{5028E6FC-B943-450C-9B6B-F95D8F0F5905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01" sheetId="1" r:id="rId1"/>
    <sheet name="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H18" i="2"/>
  <c r="I18" i="2"/>
  <c r="J18" i="2"/>
  <c r="B18" i="2"/>
  <c r="B18" i="1"/>
  <c r="C18" i="1" l="1"/>
</calcChain>
</file>

<file path=xl/sharedStrings.xml><?xml version="1.0" encoding="utf-8"?>
<sst xmlns="http://schemas.openxmlformats.org/spreadsheetml/2006/main" count="38" uniqueCount="23">
  <si>
    <t>TLAA</t>
  </si>
  <si>
    <t>ใบส่งมอบงาน</t>
  </si>
  <si>
    <t>IIQE</t>
  </si>
  <si>
    <t>TGIA</t>
  </si>
  <si>
    <t>IIQE 02</t>
  </si>
  <si>
    <t>IIQE 05</t>
  </si>
  <si>
    <t>IIQE 06</t>
  </si>
  <si>
    <t>TGIA 02</t>
  </si>
  <si>
    <t>TGIA 06</t>
  </si>
  <si>
    <t>TGIA 05</t>
  </si>
  <si>
    <t>Diff</t>
  </si>
  <si>
    <t xml:space="preserve">มกราคม    </t>
  </si>
  <si>
    <t>กุมภาพันธ์</t>
  </si>
  <si>
    <t xml:space="preserve">มีนาคม    </t>
  </si>
  <si>
    <t xml:space="preserve">เมษายน    </t>
  </si>
  <si>
    <t xml:space="preserve">พฤษภาคม   </t>
  </si>
  <si>
    <t xml:space="preserve">มิถุนายน  </t>
  </si>
  <si>
    <t xml:space="preserve">กรกฎาคม   </t>
  </si>
  <si>
    <t xml:space="preserve">สิงหาคม   </t>
  </si>
  <si>
    <t xml:space="preserve">กันยายน   </t>
  </si>
  <si>
    <t xml:space="preserve">ตุลาคม    </t>
  </si>
  <si>
    <t xml:space="preserve">พฤศจิกายน </t>
  </si>
  <si>
    <t xml:space="preserve">ธันวาคม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</si>
</sst>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8"/>
      <color theme="1"/>
      <name val="TH Sarabun New"/>
      <family val="2"/>
    </font>
    <font>
      <b/>
      <sz val="18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0" borderId="0" xfId="0" applyNumberFormat="1" applyFont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ปกติ" xfId="0" builtinId="0"/>
  </cellStyles>
  <dxfs count="2"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E7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3" zoomScale="84" zoomScaleNormal="84" workbookViewId="0">
      <selection activeCell="F13" sqref="F13"/>
    </sheetView>
  </sheetViews>
  <sheetFormatPr defaultColWidth="9.140625" defaultRowHeight="27"/>
  <cols>
    <col min="1" max="1" width="9.140625" style="1"/>
    <col min="2" max="6" width="15.7109375" style="1" customWidth="1"/>
    <col min="7" max="16384" width="9.140625" style="1"/>
  </cols>
  <sheetData>
    <row r="1" spans="1:8" ht="30" customHeight="1"/>
    <row r="2" spans="1:8" ht="30" customHeight="1"/>
    <row r="3" spans="1:8" ht="30" customHeight="1"/>
    <row r="4" spans="1:8" ht="27.95" customHeight="1">
      <c r="B4" s="15" t="s">
        <v>0</v>
      </c>
      <c r="C4" s="15"/>
    </row>
    <row r="5" spans="1:8" s="2" customFormat="1" ht="27" customHeight="1">
      <c r="B5" s="4" t="s">
        <v>1</v>
      </c>
      <c r="C5" s="4" t="s">
        <v>2</v>
      </c>
    </row>
    <row r="6" spans="1:8" s="2" customFormat="1" ht="27" customHeight="1">
      <c r="A6" s="2" t="s">
        <v>11</v>
      </c>
      <c r="B6" s="3">
        <v>4824</v>
      </c>
      <c r="C6" s="3">
        <v>4824</v>
      </c>
      <c r="D6" s="3"/>
      <c r="E6" s="3"/>
      <c r="F6" s="3"/>
      <c r="G6" s="3"/>
      <c r="H6" s="3"/>
    </row>
    <row r="7" spans="1:8" s="2" customFormat="1" ht="27" customHeight="1">
      <c r="A7" s="2" t="s">
        <v>12</v>
      </c>
      <c r="B7" s="3">
        <v>9679</v>
      </c>
      <c r="C7" s="3">
        <v>9679</v>
      </c>
      <c r="D7" s="3"/>
      <c r="E7" s="3"/>
      <c r="F7" s="3"/>
      <c r="G7" s="3"/>
      <c r="H7" s="3"/>
    </row>
    <row r="8" spans="1:8" s="2" customFormat="1" ht="27" customHeight="1">
      <c r="A8" s="2" t="s">
        <v>13</v>
      </c>
      <c r="B8" s="3">
        <v>10572</v>
      </c>
      <c r="C8" s="3">
        <v>10572</v>
      </c>
      <c r="D8" s="3"/>
      <c r="E8" s="3"/>
      <c r="F8" s="3"/>
      <c r="G8" s="3"/>
      <c r="H8" s="3"/>
    </row>
    <row r="9" spans="1:8" s="2" customFormat="1" ht="27" customHeight="1">
      <c r="A9" s="2" t="s">
        <v>14</v>
      </c>
      <c r="B9" s="3">
        <v>7462</v>
      </c>
      <c r="C9" s="3">
        <v>7462</v>
      </c>
      <c r="D9" s="3"/>
      <c r="E9" s="3"/>
      <c r="F9" s="3"/>
      <c r="G9" s="3"/>
      <c r="H9" s="3"/>
    </row>
    <row r="10" spans="1:8" s="2" customFormat="1" ht="27" customHeight="1">
      <c r="A10" s="2" t="s">
        <v>15</v>
      </c>
      <c r="B10" s="3">
        <v>8697</v>
      </c>
      <c r="C10" s="3">
        <v>8697</v>
      </c>
      <c r="D10" s="3"/>
      <c r="E10" s="3"/>
      <c r="F10" s="3"/>
      <c r="G10" s="3"/>
      <c r="H10" s="3"/>
    </row>
    <row r="11" spans="1:8" s="2" customFormat="1" ht="27" customHeight="1">
      <c r="A11" s="2" t="s">
        <v>16</v>
      </c>
      <c r="B11" s="3">
        <v>11082</v>
      </c>
      <c r="C11" s="3">
        <v>11082</v>
      </c>
      <c r="D11" s="3"/>
      <c r="E11" s="3"/>
      <c r="F11" s="3"/>
      <c r="G11" s="3"/>
      <c r="H11" s="3"/>
    </row>
    <row r="12" spans="1:8" s="2" customFormat="1" ht="27" customHeight="1">
      <c r="A12" s="2" t="s">
        <v>17</v>
      </c>
      <c r="B12" s="3">
        <v>9376</v>
      </c>
      <c r="C12" s="3">
        <v>9376</v>
      </c>
      <c r="D12" s="3"/>
      <c r="E12" s="3"/>
      <c r="F12" s="3"/>
      <c r="G12" s="3"/>
      <c r="H12" s="3"/>
    </row>
    <row r="13" spans="1:8" s="2" customFormat="1" ht="27" customHeight="1">
      <c r="A13" s="2" t="s">
        <v>18</v>
      </c>
      <c r="B13" s="3">
        <v>11004</v>
      </c>
      <c r="C13" s="3">
        <v>10998</v>
      </c>
      <c r="D13" s="3" t="s">
        <v>10</v>
      </c>
      <c r="E13" s="3">
        <f>B13-C13</f>
        <v>6</v>
      </c>
      <c r="F13" s="3"/>
      <c r="G13" s="3"/>
      <c r="H13" s="3"/>
    </row>
    <row r="14" spans="1:8" s="2" customFormat="1" ht="27" customHeight="1">
      <c r="A14" s="2" t="s">
        <v>19</v>
      </c>
      <c r="B14" s="3">
        <v>11745</v>
      </c>
      <c r="C14" s="3">
        <v>11725</v>
      </c>
      <c r="D14" s="3" t="s">
        <v>10</v>
      </c>
      <c r="E14" s="3">
        <f>B14-C14</f>
        <v>20</v>
      </c>
      <c r="F14" s="3"/>
      <c r="G14" s="3"/>
      <c r="H14" s="3"/>
    </row>
    <row r="15" spans="1:8" s="2" customFormat="1" ht="27" customHeight="1">
      <c r="A15" s="2" t="s">
        <v>20</v>
      </c>
      <c r="B15" s="3">
        <v>9553</v>
      </c>
      <c r="C15" s="3">
        <v>9553</v>
      </c>
      <c r="D15" s="3"/>
      <c r="E15" s="3"/>
      <c r="F15" s="3"/>
      <c r="G15" s="3"/>
      <c r="H15" s="3"/>
    </row>
    <row r="16" spans="1:8" s="2" customFormat="1" ht="27" customHeight="1">
      <c r="A16" s="2" t="s">
        <v>21</v>
      </c>
      <c r="B16" s="3">
        <v>10071</v>
      </c>
      <c r="C16" s="3">
        <v>10071</v>
      </c>
      <c r="D16" s="3"/>
      <c r="E16" s="3"/>
      <c r="F16" s="3"/>
      <c r="G16" s="3"/>
      <c r="H16" s="3"/>
    </row>
    <row r="17" spans="1:8" s="2" customFormat="1" ht="27" customHeight="1">
      <c r="A17" s="2" t="s">
        <v>22</v>
      </c>
      <c r="B17" s="3">
        <v>8643</v>
      </c>
      <c r="C17" s="3">
        <v>8643</v>
      </c>
      <c r="D17" s="3"/>
      <c r="E17" s="3"/>
      <c r="F17" s="3"/>
      <c r="G17" s="3"/>
      <c r="H17" s="3"/>
    </row>
    <row r="18" spans="1:8" s="2" customFormat="1" ht="27" customHeight="1">
      <c r="B18" s="6">
        <f>SUM(B6:B17)</f>
        <v>112708</v>
      </c>
      <c r="C18" s="6">
        <f>SUM(C6:C17)</f>
        <v>112682</v>
      </c>
      <c r="D18" s="3"/>
      <c r="E18" s="3"/>
      <c r="F18" s="3"/>
      <c r="G18" s="3"/>
      <c r="H18" s="3"/>
    </row>
  </sheetData>
  <mergeCells count="1">
    <mergeCell ref="B4:C4"/>
  </mergeCells>
  <conditionalFormatting sqref="C6:C18">
    <cfRule type="expression" dxfId="1" priority="1">
      <formula>$B6&lt;&gt;$C6</formula>
    </cfRule>
  </conditionalFormatting>
  <printOptions horizontalCentered="1"/>
  <pageMargins left="0.59055118110236227" right="0.59055118110236227" top="0.39370078740157483" bottom="0.19685039370078741" header="0.11811023622047245" footer="0.118110236220472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80" zoomScaleNormal="80" workbookViewId="0">
      <selection activeCell="A6" sqref="A6:A17"/>
    </sheetView>
  </sheetViews>
  <sheetFormatPr defaultColWidth="9.140625" defaultRowHeight="27"/>
  <cols>
    <col min="1" max="1" width="9.140625" style="1"/>
    <col min="2" max="3" width="15.7109375" style="1" customWidth="1"/>
    <col min="4" max="4" width="9.140625" style="1" customWidth="1"/>
    <col min="5" max="10" width="15.7109375" style="1" customWidth="1"/>
    <col min="11" max="16384" width="9.140625" style="1"/>
  </cols>
  <sheetData>
    <row r="1" spans="1:10" ht="30" customHeight="1"/>
    <row r="2" spans="1:10" ht="30" customHeight="1"/>
    <row r="3" spans="1:10" ht="30" customHeight="1"/>
    <row r="4" spans="1:10" ht="27.95" customHeight="1">
      <c r="B4" s="15" t="s">
        <v>3</v>
      </c>
      <c r="C4" s="15"/>
      <c r="D4" s="5"/>
    </row>
    <row r="5" spans="1:10" s="2" customFormat="1" ht="27" customHeight="1">
      <c r="B5" s="4" t="s">
        <v>1</v>
      </c>
      <c r="C5" s="4" t="s">
        <v>2</v>
      </c>
      <c r="D5" s="4"/>
      <c r="E5" s="4" t="s">
        <v>7</v>
      </c>
      <c r="F5" s="4" t="s">
        <v>9</v>
      </c>
      <c r="G5" s="10" t="s">
        <v>8</v>
      </c>
      <c r="H5" s="11" t="s">
        <v>4</v>
      </c>
      <c r="I5" s="4" t="s">
        <v>5</v>
      </c>
      <c r="J5" s="2" t="s">
        <v>6</v>
      </c>
    </row>
    <row r="6" spans="1:10" s="2" customFormat="1" ht="27" customHeight="1">
      <c r="A6" s="3" t="s">
        <v>11</v>
      </c>
      <c r="B6" s="3">
        <v>428</v>
      </c>
      <c r="C6" s="3">
        <v>428</v>
      </c>
      <c r="D6" s="3"/>
      <c r="E6" s="3"/>
      <c r="F6" s="3"/>
      <c r="G6" s="12"/>
      <c r="H6" s="13">
        <v>427</v>
      </c>
      <c r="I6" s="3">
        <v>1</v>
      </c>
      <c r="J6" s="3">
        <v>0</v>
      </c>
    </row>
    <row r="7" spans="1:10" s="2" customFormat="1" ht="27" customHeight="1">
      <c r="A7" s="3" t="s">
        <v>12</v>
      </c>
      <c r="B7" s="8">
        <v>527</v>
      </c>
      <c r="C7" s="3">
        <v>525</v>
      </c>
      <c r="D7" s="3"/>
      <c r="E7" s="3">
        <v>518</v>
      </c>
      <c r="F7" s="7">
        <v>5</v>
      </c>
      <c r="G7" s="12">
        <v>4</v>
      </c>
      <c r="H7" s="13">
        <v>518</v>
      </c>
      <c r="I7" s="7">
        <v>3</v>
      </c>
      <c r="J7" s="3">
        <v>4</v>
      </c>
    </row>
    <row r="8" spans="1:10" s="2" customFormat="1" ht="27" customHeight="1">
      <c r="A8" s="3" t="s">
        <v>13</v>
      </c>
      <c r="B8" s="3">
        <v>1321</v>
      </c>
      <c r="C8" s="3">
        <v>1321</v>
      </c>
      <c r="D8" s="3"/>
      <c r="E8" s="3"/>
      <c r="F8" s="3"/>
      <c r="G8" s="12"/>
      <c r="H8" s="13">
        <v>1304</v>
      </c>
      <c r="I8" s="3">
        <v>7</v>
      </c>
      <c r="J8" s="3">
        <v>10</v>
      </c>
    </row>
    <row r="9" spans="1:10" s="2" customFormat="1" ht="27" customHeight="1">
      <c r="A9" s="3" t="s">
        <v>14</v>
      </c>
      <c r="B9" s="3">
        <v>657</v>
      </c>
      <c r="C9" s="3">
        <v>657</v>
      </c>
      <c r="D9" s="3"/>
      <c r="E9" s="3"/>
      <c r="F9" s="3"/>
      <c r="G9" s="12"/>
      <c r="H9" s="13">
        <v>652</v>
      </c>
      <c r="I9" s="3">
        <v>5</v>
      </c>
      <c r="J9" s="3">
        <v>0</v>
      </c>
    </row>
    <row r="10" spans="1:10" s="2" customFormat="1" ht="27" customHeight="1">
      <c r="A10" s="3" t="s">
        <v>15</v>
      </c>
      <c r="B10" s="3">
        <v>1060</v>
      </c>
      <c r="C10" s="3">
        <v>1060</v>
      </c>
      <c r="D10" s="3"/>
      <c r="E10" s="3"/>
      <c r="F10" s="3"/>
      <c r="G10" s="12"/>
      <c r="H10" s="13">
        <v>1048</v>
      </c>
      <c r="I10" s="3">
        <v>4</v>
      </c>
      <c r="J10" s="3">
        <v>8</v>
      </c>
    </row>
    <row r="11" spans="1:10" s="2" customFormat="1" ht="27" customHeight="1">
      <c r="A11" s="3" t="s">
        <v>16</v>
      </c>
      <c r="B11" s="3">
        <v>818</v>
      </c>
      <c r="C11" s="3">
        <v>818</v>
      </c>
      <c r="D11" s="3"/>
      <c r="E11" s="3"/>
      <c r="F11" s="3"/>
      <c r="G11" s="12"/>
      <c r="H11" s="13">
        <v>812</v>
      </c>
      <c r="I11" s="3">
        <v>5</v>
      </c>
      <c r="J11" s="3">
        <v>1</v>
      </c>
    </row>
    <row r="12" spans="1:10" s="2" customFormat="1" ht="27" customHeight="1">
      <c r="A12" s="3" t="s">
        <v>17</v>
      </c>
      <c r="B12" s="3">
        <v>1090</v>
      </c>
      <c r="C12" s="3">
        <v>1090</v>
      </c>
      <c r="D12" s="3"/>
      <c r="E12" s="3"/>
      <c r="F12" s="3"/>
      <c r="G12" s="12"/>
      <c r="H12" s="13">
        <v>1079</v>
      </c>
      <c r="I12" s="3">
        <v>11</v>
      </c>
      <c r="J12" s="3">
        <v>0</v>
      </c>
    </row>
    <row r="13" spans="1:10" s="2" customFormat="1" ht="27" customHeight="1">
      <c r="A13" s="3" t="s">
        <v>18</v>
      </c>
      <c r="B13" s="3">
        <v>903</v>
      </c>
      <c r="C13" s="3">
        <v>903</v>
      </c>
      <c r="D13" s="3"/>
      <c r="E13" s="3"/>
      <c r="F13" s="3"/>
      <c r="G13" s="12"/>
      <c r="H13" s="13">
        <v>903</v>
      </c>
      <c r="I13" s="3">
        <v>0</v>
      </c>
      <c r="J13" s="3">
        <v>0</v>
      </c>
    </row>
    <row r="14" spans="1:10" s="2" customFormat="1" ht="27" customHeight="1">
      <c r="A14" s="3" t="s">
        <v>19</v>
      </c>
      <c r="B14" s="8">
        <v>1034</v>
      </c>
      <c r="C14" s="3">
        <v>1033</v>
      </c>
      <c r="D14" s="3"/>
      <c r="E14" s="3">
        <v>1030</v>
      </c>
      <c r="F14" s="7">
        <v>4</v>
      </c>
      <c r="G14" s="12">
        <v>0</v>
      </c>
      <c r="H14" s="13">
        <v>1030</v>
      </c>
      <c r="I14" s="7">
        <v>3</v>
      </c>
      <c r="J14" s="3">
        <v>0</v>
      </c>
    </row>
    <row r="15" spans="1:10" s="2" customFormat="1" ht="27" customHeight="1">
      <c r="A15" s="3" t="s">
        <v>20</v>
      </c>
      <c r="B15" s="8">
        <v>806</v>
      </c>
      <c r="C15" s="3">
        <v>805</v>
      </c>
      <c r="D15" s="3"/>
      <c r="E15" s="3"/>
      <c r="F15" s="3"/>
      <c r="G15" s="12"/>
      <c r="H15" s="13">
        <v>793</v>
      </c>
      <c r="I15" s="3">
        <v>8</v>
      </c>
      <c r="J15" s="3">
        <v>4</v>
      </c>
    </row>
    <row r="16" spans="1:10" s="2" customFormat="1" ht="27" customHeight="1">
      <c r="A16" s="3" t="s">
        <v>21</v>
      </c>
      <c r="B16" s="3">
        <v>787</v>
      </c>
      <c r="C16" s="3">
        <v>787</v>
      </c>
      <c r="D16" s="3"/>
      <c r="E16" s="3"/>
      <c r="F16" s="3"/>
      <c r="G16" s="12"/>
      <c r="H16" s="13">
        <v>775</v>
      </c>
      <c r="I16" s="3">
        <v>6</v>
      </c>
      <c r="J16" s="3">
        <v>6</v>
      </c>
    </row>
    <row r="17" spans="1:10" s="2" customFormat="1" ht="27" customHeight="1">
      <c r="A17" s="3" t="s">
        <v>22</v>
      </c>
      <c r="B17" s="3">
        <v>582</v>
      </c>
      <c r="C17" s="3">
        <v>582</v>
      </c>
      <c r="D17" s="3"/>
      <c r="E17" s="3"/>
      <c r="F17" s="3"/>
      <c r="G17" s="12"/>
      <c r="H17" s="13">
        <v>557</v>
      </c>
      <c r="I17" s="3">
        <v>2</v>
      </c>
      <c r="J17" s="3">
        <v>23</v>
      </c>
    </row>
    <row r="18" spans="1:10" s="2" customFormat="1" ht="27" customHeight="1">
      <c r="B18" s="9">
        <f>SUM(B6:B17)</f>
        <v>10013</v>
      </c>
      <c r="C18" s="6">
        <v>10009</v>
      </c>
      <c r="D18" s="6"/>
      <c r="E18" s="3"/>
      <c r="F18" s="3"/>
      <c r="G18" s="12"/>
      <c r="H18" s="14">
        <f t="shared" ref="H18:J18" si="0">SUM(H6:H17)</f>
        <v>9898</v>
      </c>
      <c r="I18" s="6">
        <f t="shared" si="0"/>
        <v>55</v>
      </c>
      <c r="J18" s="6">
        <f t="shared" si="0"/>
        <v>56</v>
      </c>
    </row>
  </sheetData>
  <mergeCells count="1">
    <mergeCell ref="B4:C4"/>
  </mergeCells>
  <conditionalFormatting sqref="E6:G6 C6:C18">
    <cfRule type="expression" dxfId="0" priority="1">
      <formula>$B6&lt;&gt;$C6</formula>
    </cfRule>
  </conditionalFormatting>
  <printOptions horizontalCentered="1"/>
  <pageMargins left="0.59055118110236227" right="0.59055118110236227" top="0.39370078740157483" bottom="0.19685039370078741" header="0.11811023622047245" footer="0.11811023622047245"/>
  <pageSetup paperSize="9" orientation="landscape" r:id="rId1"/>
</worksheet>
</file>

<file path=docMetadata/LabelInfo.xml><?xml version="1.0" encoding="utf-8"?>
<clbl:labelList xmlns:clbl="http://schemas.microsoft.com/office/2020/mipLabelMetadata">
  <clbl:label id="{36e90dec-9144-4be2-a70e-767e3eed7903}" enabled="0" method="" siteId="{36e90dec-9144-4be2-a70e-767e3eed79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01</vt:lpstr>
      <vt:lpstr>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OIC</dc:creator>
  <cp:lastModifiedBy>Pachara Choopradit</cp:lastModifiedBy>
  <cp:lastPrinted>2021-01-15T03:00:11Z</cp:lastPrinted>
  <dcterms:created xsi:type="dcterms:W3CDTF">2019-02-27T08:36:12Z</dcterms:created>
  <dcterms:modified xsi:type="dcterms:W3CDTF">2026-04-03T07:46:03Z</dcterms:modified>
</cp:coreProperties>
</file>